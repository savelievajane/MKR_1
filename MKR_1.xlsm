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20730" windowHeight="9195" activeTab="1"/>
  </bookViews>
  <sheets>
    <sheet name="1 " sheetId="1" r:id="rId1"/>
    <sheet name="2" sheetId="2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H16" i="2" l="1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F16" i="2"/>
  <c r="F13" i="2" s="1"/>
  <c r="G16" i="2" s="1"/>
  <c r="AJ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C4" i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I15" i="2" l="1"/>
  <c r="AH15" i="2"/>
  <c r="AG15" i="2"/>
  <c r="Y15" i="2"/>
  <c r="Q15" i="2"/>
  <c r="I15" i="2"/>
  <c r="X15" i="2"/>
  <c r="P15" i="2"/>
  <c r="H15" i="2"/>
  <c r="W15" i="2"/>
  <c r="O15" i="2"/>
  <c r="G15" i="2"/>
  <c r="V15" i="2"/>
  <c r="AF15" i="2"/>
  <c r="AE15" i="2"/>
  <c r="AC15" i="2"/>
  <c r="U15" i="2"/>
  <c r="M15" i="2"/>
  <c r="AB15" i="2"/>
  <c r="T15" i="2"/>
  <c r="L15" i="2"/>
  <c r="AA15" i="2"/>
  <c r="S15" i="2"/>
  <c r="K15" i="2"/>
  <c r="Z15" i="2"/>
  <c r="R15" i="2"/>
  <c r="J15" i="2"/>
  <c r="AD15" i="2"/>
  <c r="N15" i="2"/>
</calcChain>
</file>

<file path=xl/sharedStrings.xml><?xml version="1.0" encoding="utf-8"?>
<sst xmlns="http://schemas.openxmlformats.org/spreadsheetml/2006/main" count="25" uniqueCount="13">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</sst>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8524AC"/>
      <color rgb="FFF830E0"/>
      <color rgb="FF9E4DDB"/>
      <color rgb="FF95618A"/>
      <color rgb="FFFD9F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830E0"/>
              </a:solidFill>
              <a:round/>
            </a:ln>
            <a:effectLst/>
          </c:spPr>
          <c:marker>
            <c:symbol val="none"/>
          </c:marker>
          <c:xVal>
            <c:numRef>
              <c:f>'1 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'1 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293.33288182403788</c:v>
                </c:pt>
                <c:pt idx="2">
                  <c:v>286.66577351463718</c:v>
                </c:pt>
                <c:pt idx="3">
                  <c:v>279.99866520523642</c:v>
                </c:pt>
                <c:pt idx="4">
                  <c:v>273.33158606430379</c:v>
                </c:pt>
                <c:pt idx="5">
                  <c:v>266.66450692337116</c:v>
                </c:pt>
                <c:pt idx="6">
                  <c:v>259.99747497801133</c:v>
                </c:pt>
                <c:pt idx="7">
                  <c:v>253.33044303265152</c:v>
                </c:pt>
                <c:pt idx="8">
                  <c:v>246.66347424729619</c:v>
                </c:pt>
                <c:pt idx="9">
                  <c:v>239.99650546194084</c:v>
                </c:pt>
                <c:pt idx="10">
                  <c:v>233.32961304062647</c:v>
                </c:pt>
                <c:pt idx="11">
                  <c:v>226.66272061931204</c:v>
                </c:pt>
                <c:pt idx="12">
                  <c:v>219.99591442859997</c:v>
                </c:pt>
                <c:pt idx="13">
                  <c:v>213.32910823788788</c:v>
                </c:pt>
                <c:pt idx="14">
                  <c:v>206.6623943756484</c:v>
                </c:pt>
                <c:pt idx="15">
                  <c:v>199.99568051340893</c:v>
                </c:pt>
                <c:pt idx="16">
                  <c:v>193.32906104231506</c:v>
                </c:pt>
                <c:pt idx="17">
                  <c:v>186.66244157122122</c:v>
                </c:pt>
                <c:pt idx="18">
                  <c:v>179.99591442859997</c:v>
                </c:pt>
                <c:pt idx="19">
                  <c:v>173.32938728597873</c:v>
                </c:pt>
                <c:pt idx="20">
                  <c:v>166.66294637395981</c:v>
                </c:pt>
                <c:pt idx="21">
                  <c:v>159.99650546194087</c:v>
                </c:pt>
                <c:pt idx="22">
                  <c:v>153.33014091396285</c:v>
                </c:pt>
                <c:pt idx="23">
                  <c:v>146.66377636598486</c:v>
                </c:pt>
                <c:pt idx="24">
                  <c:v>139.99747497801133</c:v>
                </c:pt>
                <c:pt idx="25">
                  <c:v>133.33117359003782</c:v>
                </c:pt>
                <c:pt idx="26">
                  <c:v>126.66491939763711</c:v>
                </c:pt>
                <c:pt idx="27">
                  <c:v>119.99866520523639</c:v>
                </c:pt>
                <c:pt idx="28">
                  <c:v>113.3324401813038</c:v>
                </c:pt>
                <c:pt idx="29">
                  <c:v>106.6662151573712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C54-438D-9D5B-7482B5D94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04352"/>
        <c:axId val="92005888"/>
      </c:scatterChart>
      <c:valAx>
        <c:axId val="920043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005888"/>
        <c:crosses val="autoZero"/>
        <c:crossBetween val="midCat"/>
      </c:valAx>
      <c:valAx>
        <c:axId val="92005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004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830E0"/>
              </a:solidFill>
              <a:round/>
            </a:ln>
            <a:effectLst/>
          </c:spPr>
          <c:marker>
            <c:symbol val="none"/>
          </c:marker>
          <c:xVal>
            <c:numRef>
              <c:f>'2'!$F$12:$AJ$12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'2'!$F$13:$AJ$13</c:f>
              <c:numCache>
                <c:formatCode>General</c:formatCode>
                <c:ptCount val="31"/>
                <c:pt idx="0">
                  <c:v>299.76152995395427</c:v>
                </c:pt>
                <c:pt idx="1">
                  <c:v>293.09486328728758</c:v>
                </c:pt>
                <c:pt idx="2">
                  <c:v>286.42887258987537</c:v>
                </c:pt>
                <c:pt idx="3">
                  <c:v>279.76355594560931</c:v>
                </c:pt>
                <c:pt idx="4">
                  <c:v>273.09890952770422</c:v>
                </c:pt>
                <c:pt idx="5">
                  <c:v>266.43492760954553</c:v>
                </c:pt>
                <c:pt idx="6">
                  <c:v>259.77160258092186</c:v>
                </c:pt>
                <c:pt idx="7">
                  <c:v>253.1089249695971</c:v>
                </c:pt>
                <c:pt idx="8">
                  <c:v>246.44688346816059</c:v>
                </c:pt>
                <c:pt idx="9">
                  <c:v>239.78546496607885</c:v>
                </c:pt>
                <c:pt idx="10">
                  <c:v>233.12465458685932</c:v>
                </c:pt>
                <c:pt idx="11">
                  <c:v>226.46443573021875</c:v>
                </c:pt>
                <c:pt idx="12">
                  <c:v>219.80479011913943</c:v>
                </c:pt>
                <c:pt idx="13">
                  <c:v>213.14569785167603</c:v>
                </c:pt>
                <c:pt idx="14">
                  <c:v>206.4871374573716</c:v>
                </c:pt>
                <c:pt idx="15">
                  <c:v>199.82908595811583</c:v>
                </c:pt>
                <c:pt idx="16">
                  <c:v>193.17151893328128</c:v>
                </c:pt>
                <c:pt idx="17">
                  <c:v>186.51441058894395</c:v>
                </c:pt>
                <c:pt idx="18">
                  <c:v>179.85773383100135</c:v>
                </c:pt>
                <c:pt idx="19">
                  <c:v>173.20146034197114</c:v>
                </c:pt>
                <c:pt idx="20">
                  <c:v>166.54556066126284</c:v>
                </c:pt>
                <c:pt idx="21">
                  <c:v>159.89000426868424</c:v>
                </c:pt>
                <c:pt idx="22">
                  <c:v>153.23475967095703</c:v>
                </c:pt>
                <c:pt idx="23">
                  <c:v>146.57979449098519</c:v>
                </c:pt>
                <c:pt idx="24">
                  <c:v>139.925075559634</c:v>
                </c:pt>
                <c:pt idx="25">
                  <c:v>133.27056900974901</c:v>
                </c:pt>
                <c:pt idx="26">
                  <c:v>126.61624037215859</c:v>
                </c:pt>
                <c:pt idx="27">
                  <c:v>119.96205467337839</c:v>
                </c:pt>
                <c:pt idx="28">
                  <c:v>113.30797653474929</c:v>
                </c:pt>
                <c:pt idx="29">
                  <c:v>106.65397027272058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7D0-4787-BD05-799B47E92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23232"/>
        <c:axId val="93045504"/>
      </c:scatterChart>
      <c:valAx>
        <c:axId val="9302323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045504"/>
        <c:crosses val="autoZero"/>
        <c:crossBetween val="midCat"/>
      </c:valAx>
      <c:valAx>
        <c:axId val="9304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02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17</xdr:row>
      <xdr:rowOff>171450</xdr:rowOff>
    </xdr:from>
    <xdr:to>
      <xdr:col>21</xdr:col>
      <xdr:colOff>406400</xdr:colOff>
      <xdr:row>47</xdr:row>
      <xdr:rowOff>165100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38100</xdr:colOff>
      <xdr:row>18</xdr:row>
      <xdr:rowOff>63500</xdr:rowOff>
    </xdr:from>
    <xdr:ext cx="558800" cy="279400"/>
    <xdr:sp macro="" textlink="">
      <xdr:nvSpPr>
        <xdr:cNvPr id="3" name="TextBox 2"/>
        <xdr:cNvSpPr txBox="1"/>
      </xdr:nvSpPr>
      <xdr:spPr>
        <a:xfrm>
          <a:off x="4965700" y="3263900"/>
          <a:ext cx="558800" cy="279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1" i="1"/>
            <a:t>T</a:t>
          </a:r>
          <a:r>
            <a:rPr lang="en-US" sz="1400" b="1" i="1" baseline="0"/>
            <a:t> (C)</a:t>
          </a:r>
          <a:endParaRPr lang="ru-RU" sz="1400" b="1" i="1"/>
        </a:p>
      </xdr:txBody>
    </xdr:sp>
    <xdr:clientData/>
  </xdr:oneCellAnchor>
  <xdr:oneCellAnchor>
    <xdr:from>
      <xdr:col>20</xdr:col>
      <xdr:colOff>330200</xdr:colOff>
      <xdr:row>46</xdr:row>
      <xdr:rowOff>1</xdr:rowOff>
    </xdr:from>
    <xdr:ext cx="406400" cy="2666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0007600" y="8229601"/>
              <a:ext cx="406400" cy="2666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0007600" y="8229601"/>
              <a:ext cx="406400" cy="2666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𝑳,(𝒎)</a:t>
              </a:r>
              <a:endParaRPr lang="ru-RU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12700</xdr:colOff>
      <xdr:row>18</xdr:row>
      <xdr:rowOff>0</xdr:rowOff>
    </xdr:from>
    <xdr:to>
      <xdr:col>20</xdr:col>
      <xdr:colOff>0</xdr:colOff>
      <xdr:row>48</xdr:row>
      <xdr:rowOff>25400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25400</xdr:colOff>
      <xdr:row>46</xdr:row>
      <xdr:rowOff>88901</xdr:rowOff>
    </xdr:from>
    <xdr:ext cx="584200" cy="2412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11607800" y="8318501"/>
              <a:ext cx="584200" cy="2412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11607800" y="8318501"/>
              <a:ext cx="584200" cy="2412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𝑳,(𝒎)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10</xdr:col>
      <xdr:colOff>43180</xdr:colOff>
      <xdr:row>18</xdr:row>
      <xdr:rowOff>53340</xdr:rowOff>
    </xdr:from>
    <xdr:ext cx="558800" cy="279400"/>
    <xdr:sp macro="" textlink="">
      <xdr:nvSpPr>
        <xdr:cNvPr id="8" name="TextBox 7"/>
        <xdr:cNvSpPr txBox="1"/>
      </xdr:nvSpPr>
      <xdr:spPr>
        <a:xfrm>
          <a:off x="6139180" y="3253740"/>
          <a:ext cx="558800" cy="279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1" i="1"/>
            <a:t>T</a:t>
          </a:r>
          <a:r>
            <a:rPr lang="en-US" sz="1400" b="1" i="1" baseline="0"/>
            <a:t> (C)</a:t>
          </a:r>
          <a:endParaRPr lang="ru-RU" sz="1400" b="1" i="1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32"/>
  <sheetViews>
    <sheetView zoomScale="70" zoomScaleNormal="70" workbookViewId="0">
      <selection activeCell="F25" sqref="F25"/>
    </sheetView>
  </sheetViews>
  <sheetFormatPr defaultRowHeight="15" x14ac:dyDescent="0.25"/>
  <cols>
    <col min="6" max="7" width="7.28515625" bestFit="1" customWidth="1"/>
    <col min="8" max="36" width="6.28515625" bestFit="1" customWidth="1"/>
  </cols>
  <sheetData>
    <row r="3" spans="1:36" ht="14.45" x14ac:dyDescent="0.3">
      <c r="B3" s="1" t="s">
        <v>0</v>
      </c>
      <c r="C3" s="1">
        <v>0.1</v>
      </c>
    </row>
    <row r="4" spans="1:36" ht="14.45" x14ac:dyDescent="0.3">
      <c r="B4" s="1" t="s">
        <v>1</v>
      </c>
      <c r="C4" s="3">
        <f>C3/30</f>
        <v>3.3333333333333335E-3</v>
      </c>
    </row>
    <row r="5" spans="1:36" ht="14.45" x14ac:dyDescent="0.3">
      <c r="B5" s="1" t="s">
        <v>2</v>
      </c>
      <c r="C5" s="3">
        <f>(C9*C8*C4^2)/(2*C10)</f>
        <v>0.4333333333333334</v>
      </c>
    </row>
    <row r="6" spans="1:36" ht="14.45" x14ac:dyDescent="0.3">
      <c r="B6" s="1" t="s">
        <v>3</v>
      </c>
      <c r="C6" s="1">
        <v>500</v>
      </c>
      <c r="D6">
        <v>500.43333333333334</v>
      </c>
    </row>
    <row r="7" spans="1:36" ht="14.45" x14ac:dyDescent="0.3">
      <c r="A7" s="5"/>
      <c r="B7" s="6"/>
      <c r="C7" s="6"/>
      <c r="D7" s="5"/>
    </row>
    <row r="8" spans="1:36" ht="14.45" x14ac:dyDescent="0.3">
      <c r="B8" s="1" t="s">
        <v>4</v>
      </c>
      <c r="C8" s="1">
        <v>460</v>
      </c>
    </row>
    <row r="9" spans="1:36" ht="14.45" x14ac:dyDescent="0.3">
      <c r="B9" s="1" t="s">
        <v>5</v>
      </c>
      <c r="C9" s="1">
        <v>7800</v>
      </c>
    </row>
    <row r="10" spans="1:36" ht="14.45" x14ac:dyDescent="0.3">
      <c r="B10" s="1" t="s">
        <v>6</v>
      </c>
      <c r="C10" s="1">
        <v>46</v>
      </c>
    </row>
    <row r="11" spans="1:36" ht="14.45" x14ac:dyDescent="0.3">
      <c r="A11" s="5"/>
      <c r="B11" s="6"/>
      <c r="C11" s="6"/>
      <c r="D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ht="14.45" x14ac:dyDescent="0.3">
      <c r="B12" s="1" t="s">
        <v>8</v>
      </c>
      <c r="C12" s="1">
        <v>300</v>
      </c>
      <c r="E12" t="s">
        <v>0</v>
      </c>
      <c r="F12" s="2">
        <v>0</v>
      </c>
      <c r="G12" s="2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ht="14.45" x14ac:dyDescent="0.3">
      <c r="B13" s="1" t="s">
        <v>9</v>
      </c>
      <c r="C13" s="1">
        <v>100</v>
      </c>
      <c r="E13" t="s">
        <v>7</v>
      </c>
      <c r="F13" s="4">
        <f>C12</f>
        <v>300</v>
      </c>
      <c r="G13" s="4">
        <v>293.33288182403788</v>
      </c>
      <c r="H13" s="4">
        <v>286.66577351463718</v>
      </c>
      <c r="I13" s="4">
        <v>279.99866520523642</v>
      </c>
      <c r="J13" s="4">
        <v>273.33158606430379</v>
      </c>
      <c r="K13" s="4">
        <v>266.66450692337116</v>
      </c>
      <c r="L13" s="4">
        <v>259.99747497801133</v>
      </c>
      <c r="M13" s="4">
        <v>253.33044303265152</v>
      </c>
      <c r="N13" s="4">
        <v>246.66347424729619</v>
      </c>
      <c r="O13" s="4">
        <v>239.99650546194084</v>
      </c>
      <c r="P13" s="4">
        <v>233.32961304062647</v>
      </c>
      <c r="Q13" s="4">
        <v>226.66272061931204</v>
      </c>
      <c r="R13" s="4">
        <v>219.99591442859997</v>
      </c>
      <c r="S13" s="4">
        <v>213.32910823788788</v>
      </c>
      <c r="T13" s="4">
        <v>206.6623943756484</v>
      </c>
      <c r="U13" s="4">
        <v>199.99568051340893</v>
      </c>
      <c r="V13" s="4">
        <v>193.32906104231506</v>
      </c>
      <c r="W13" s="4">
        <v>186.66244157122122</v>
      </c>
      <c r="X13" s="4">
        <v>179.99591442859997</v>
      </c>
      <c r="Y13" s="4">
        <v>173.32938728597873</v>
      </c>
      <c r="Z13" s="4">
        <v>166.66294637395981</v>
      </c>
      <c r="AA13" s="4">
        <v>159.99650546194087</v>
      </c>
      <c r="AB13" s="4">
        <v>153.33014091396285</v>
      </c>
      <c r="AC13" s="4">
        <v>146.66377636598486</v>
      </c>
      <c r="AD13" s="4">
        <v>139.99747497801133</v>
      </c>
      <c r="AE13" s="4">
        <v>133.33117359003782</v>
      </c>
      <c r="AF13" s="4">
        <v>126.66491939763711</v>
      </c>
      <c r="AG13" s="4">
        <v>119.99866520523639</v>
      </c>
      <c r="AH13" s="4">
        <v>113.3324401813038</v>
      </c>
      <c r="AI13" s="4">
        <v>106.6662151573712</v>
      </c>
      <c r="AJ13" s="4">
        <f>C13</f>
        <v>100</v>
      </c>
    </row>
    <row r="15" spans="1:36" ht="14.45" x14ac:dyDescent="0.3">
      <c r="E15" t="s">
        <v>10</v>
      </c>
      <c r="G15" s="4">
        <f>G13+(($C$10*$C$5)/($C$9*$C$8))*((H13-2*G13+F13)/($C$4^2))</f>
        <v>293.33288675731859</v>
      </c>
      <c r="H15" s="4">
        <f t="shared" ref="H15:AI15" si="1">H13+(($C$10*$C$5)/($C$9*$C$8))*((I13-2*H13+G13)/($C$4^2))</f>
        <v>286.66577351463718</v>
      </c>
      <c r="I15" s="4">
        <f t="shared" si="1"/>
        <v>279.99867978947049</v>
      </c>
      <c r="J15" s="4">
        <f t="shared" si="1"/>
        <v>273.33158606430379</v>
      </c>
      <c r="K15" s="4">
        <f t="shared" si="1"/>
        <v>266.66453052115753</v>
      </c>
      <c r="L15" s="4">
        <f t="shared" si="1"/>
        <v>259.99747497801133</v>
      </c>
      <c r="M15" s="4">
        <f t="shared" si="1"/>
        <v>253.33047461265375</v>
      </c>
      <c r="N15" s="4">
        <f t="shared" si="1"/>
        <v>246.66347424729616</v>
      </c>
      <c r="O15" s="4">
        <f t="shared" si="1"/>
        <v>239.99654364396133</v>
      </c>
      <c r="P15" s="4">
        <f t="shared" si="1"/>
        <v>233.32961304062644</v>
      </c>
      <c r="Q15" s="4">
        <f t="shared" si="1"/>
        <v>226.66276373461324</v>
      </c>
      <c r="R15" s="4">
        <f t="shared" si="1"/>
        <v>219.99591442859997</v>
      </c>
      <c r="S15" s="4">
        <f t="shared" si="1"/>
        <v>213.32915440212417</v>
      </c>
      <c r="T15" s="4">
        <f t="shared" si="1"/>
        <v>206.6623943756484</v>
      </c>
      <c r="U15" s="4">
        <f t="shared" si="1"/>
        <v>199.99572770898175</v>
      </c>
      <c r="V15" s="4">
        <f t="shared" si="1"/>
        <v>193.32906104231506</v>
      </c>
      <c r="W15" s="4">
        <f t="shared" si="1"/>
        <v>186.66248773545752</v>
      </c>
      <c r="X15" s="4">
        <f t="shared" si="1"/>
        <v>179.99591442859997</v>
      </c>
      <c r="Y15" s="4">
        <f t="shared" si="1"/>
        <v>173.32943040127989</v>
      </c>
      <c r="Z15" s="4">
        <f t="shared" si="1"/>
        <v>166.66294637395981</v>
      </c>
      <c r="AA15" s="4">
        <f t="shared" si="1"/>
        <v>159.99654364396133</v>
      </c>
      <c r="AB15" s="4">
        <f t="shared" si="1"/>
        <v>153.33014091396285</v>
      </c>
      <c r="AC15" s="4">
        <f t="shared" si="1"/>
        <v>146.66380794598709</v>
      </c>
      <c r="AD15" s="4">
        <f t="shared" si="1"/>
        <v>139.99747497801133</v>
      </c>
      <c r="AE15" s="4">
        <f t="shared" si="1"/>
        <v>133.33119718782422</v>
      </c>
      <c r="AF15" s="4">
        <f t="shared" si="1"/>
        <v>126.66491939763711</v>
      </c>
      <c r="AG15" s="4">
        <f t="shared" si="1"/>
        <v>119.99867978947046</v>
      </c>
      <c r="AH15" s="4">
        <f t="shared" si="1"/>
        <v>113.3324401813038</v>
      </c>
      <c r="AI15" s="4">
        <f t="shared" si="1"/>
        <v>106.6662200906519</v>
      </c>
    </row>
    <row r="32" spans="28:28" ht="18" x14ac:dyDescent="0.3">
      <c r="AB32" s="7"/>
    </row>
  </sheetData>
  <conditionalFormatting sqref="F13:AJ1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7">
      <colorScale>
        <cfvo type="min"/>
        <cfvo type="max"/>
        <color rgb="FF63BE7B"/>
        <color rgb="FFFCFCFF"/>
      </colorScale>
    </cfRule>
    <cfRule type="colorScale" priority="6">
      <colorScale>
        <cfvo type="min"/>
        <cfvo type="max"/>
        <color rgb="FF9E4DDB"/>
        <color rgb="FFF830E0"/>
      </colorScale>
    </cfRule>
    <cfRule type="colorScale" priority="5">
      <colorScale>
        <cfvo type="min"/>
        <cfvo type="max"/>
        <color rgb="FF00B0F0"/>
        <color rgb="FFFFFF00"/>
      </colorScale>
    </cfRule>
    <cfRule type="colorScale" priority="4">
      <colorScale>
        <cfvo type="min"/>
        <cfvo type="max"/>
        <color rgb="FF95618A"/>
        <color rgb="FFFD9FEB"/>
      </colorScale>
    </cfRule>
    <cfRule type="colorScale" priority="3">
      <colorScale>
        <cfvo type="min"/>
        <cfvo type="max"/>
        <color rgb="FF9E4DDB"/>
        <color rgb="FF95618A"/>
      </colorScale>
    </cfRule>
    <cfRule type="colorScale" priority="1">
      <colorScale>
        <cfvo type="min"/>
        <cfvo type="max"/>
        <color rgb="FFFF7128"/>
        <color rgb="FF8524AC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3:AJ32"/>
  <sheetViews>
    <sheetView tabSelected="1" zoomScale="60" zoomScaleNormal="60" workbookViewId="0">
      <selection activeCell="Y36" sqref="Y36"/>
    </sheetView>
  </sheetViews>
  <sheetFormatPr defaultRowHeight="15" x14ac:dyDescent="0.25"/>
  <sheetData>
    <row r="3" spans="1:36" ht="14.45" x14ac:dyDescent="0.3">
      <c r="B3" s="1" t="s">
        <v>0</v>
      </c>
      <c r="C3" s="1">
        <v>0.1</v>
      </c>
    </row>
    <row r="4" spans="1:36" ht="14.45" x14ac:dyDescent="0.3">
      <c r="B4" s="1" t="s">
        <v>1</v>
      </c>
      <c r="C4" s="3">
        <f>C3/30</f>
        <v>3.3333333333333335E-3</v>
      </c>
    </row>
    <row r="5" spans="1:36" ht="14.45" x14ac:dyDescent="0.3">
      <c r="B5" s="1" t="s">
        <v>2</v>
      </c>
      <c r="C5" s="3">
        <f>(C9*C8*C4^2)/(2*C10)</f>
        <v>0.4333333333333334</v>
      </c>
    </row>
    <row r="6" spans="1:36" ht="14.45" x14ac:dyDescent="0.3">
      <c r="B6" s="1" t="s">
        <v>3</v>
      </c>
      <c r="C6" s="1">
        <v>5000</v>
      </c>
      <c r="D6">
        <v>5000.4333333333334</v>
      </c>
    </row>
    <row r="7" spans="1:36" ht="14.45" x14ac:dyDescent="0.3">
      <c r="A7" s="5"/>
      <c r="B7" s="6"/>
      <c r="C7" s="6"/>
      <c r="D7" s="5"/>
    </row>
    <row r="8" spans="1:36" ht="14.45" x14ac:dyDescent="0.3">
      <c r="B8" s="1" t="s">
        <v>4</v>
      </c>
      <c r="C8" s="1">
        <v>460</v>
      </c>
    </row>
    <row r="9" spans="1:36" ht="14.45" x14ac:dyDescent="0.3">
      <c r="B9" s="1" t="s">
        <v>5</v>
      </c>
      <c r="C9" s="1">
        <v>7800</v>
      </c>
    </row>
    <row r="10" spans="1:36" ht="14.45" x14ac:dyDescent="0.3">
      <c r="B10" s="1" t="s">
        <v>6</v>
      </c>
      <c r="C10" s="1">
        <v>46</v>
      </c>
    </row>
    <row r="11" spans="1:36" ht="14.45" x14ac:dyDescent="0.3">
      <c r="A11" s="5"/>
      <c r="B11" s="6"/>
      <c r="C11" s="6"/>
      <c r="D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ht="14.45" x14ac:dyDescent="0.3">
      <c r="B12" s="1" t="s">
        <v>12</v>
      </c>
      <c r="C12" s="1">
        <v>92000</v>
      </c>
      <c r="E12" t="s">
        <v>0</v>
      </c>
      <c r="F12" s="2">
        <v>0</v>
      </c>
      <c r="G12" s="2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ht="14.45" x14ac:dyDescent="0.3">
      <c r="B13" s="1" t="s">
        <v>9</v>
      </c>
      <c r="C13" s="1">
        <v>100</v>
      </c>
      <c r="E13" t="s">
        <v>7</v>
      </c>
      <c r="F13" s="4">
        <f>(F16/C10)*C4+G13</f>
        <v>299.76152995395427</v>
      </c>
      <c r="G13" s="4">
        <v>293.09486328728758</v>
      </c>
      <c r="H13" s="4">
        <v>286.42887258987537</v>
      </c>
      <c r="I13" s="4">
        <v>279.76355594560931</v>
      </c>
      <c r="J13" s="4">
        <v>273.09890952770422</v>
      </c>
      <c r="K13" s="4">
        <v>266.43492760954553</v>
      </c>
      <c r="L13" s="4">
        <v>259.77160258092186</v>
      </c>
      <c r="M13" s="4">
        <v>253.1089249695971</v>
      </c>
      <c r="N13" s="4">
        <v>246.44688346816059</v>
      </c>
      <c r="O13" s="4">
        <v>239.78546496607885</v>
      </c>
      <c r="P13" s="4">
        <v>233.12465458685932</v>
      </c>
      <c r="Q13" s="4">
        <v>226.46443573021875</v>
      </c>
      <c r="R13" s="4">
        <v>219.80479011913943</v>
      </c>
      <c r="S13" s="4">
        <v>213.14569785167603</v>
      </c>
      <c r="T13" s="4">
        <v>206.4871374573716</v>
      </c>
      <c r="U13" s="4">
        <v>199.82908595811583</v>
      </c>
      <c r="V13" s="4">
        <v>193.17151893328128</v>
      </c>
      <c r="W13" s="4">
        <v>186.51441058894395</v>
      </c>
      <c r="X13" s="4">
        <v>179.85773383100135</v>
      </c>
      <c r="Y13" s="4">
        <v>173.20146034197114</v>
      </c>
      <c r="Z13" s="4">
        <v>166.54556066126284</v>
      </c>
      <c r="AA13" s="4">
        <v>159.89000426868424</v>
      </c>
      <c r="AB13" s="4">
        <v>153.23475967095703</v>
      </c>
      <c r="AC13" s="4">
        <v>146.57979449098519</v>
      </c>
      <c r="AD13" s="4">
        <v>139.925075559634</v>
      </c>
      <c r="AE13" s="4">
        <v>133.27056900974901</v>
      </c>
      <c r="AF13" s="4">
        <v>126.61624037215859</v>
      </c>
      <c r="AG13" s="4">
        <v>119.96205467337839</v>
      </c>
      <c r="AH13" s="4">
        <v>113.30797653474929</v>
      </c>
      <c r="AI13" s="4">
        <v>106.65397027272058</v>
      </c>
      <c r="AJ13" s="4">
        <f>C13</f>
        <v>100</v>
      </c>
    </row>
    <row r="15" spans="1:36" ht="14.45" x14ac:dyDescent="0.3">
      <c r="E15" t="s">
        <v>10</v>
      </c>
      <c r="G15" s="4">
        <f>G13+(($C$10*$C$5)/($C$9*$C$8))*((H13-2*G13+F13)/($C$4^2))</f>
        <v>293.09520127191479</v>
      </c>
      <c r="H15" s="4">
        <f t="shared" ref="H15:AI15" si="1">H13+(($C$10*$C$5)/($C$9*$C$8))*((I13-2*H13+G13)/($C$4^2))</f>
        <v>286.42920961644847</v>
      </c>
      <c r="I15" s="4">
        <f t="shared" si="1"/>
        <v>279.7638910587898</v>
      </c>
      <c r="J15" s="4">
        <f t="shared" si="1"/>
        <v>273.09924177757739</v>
      </c>
      <c r="K15" s="4">
        <f t="shared" si="1"/>
        <v>266.43525605431307</v>
      </c>
      <c r="L15" s="4">
        <f t="shared" si="1"/>
        <v>259.7719262895713</v>
      </c>
      <c r="M15" s="4">
        <f t="shared" si="1"/>
        <v>253.10924302454123</v>
      </c>
      <c r="N15" s="4">
        <f t="shared" si="1"/>
        <v>246.44719496783796</v>
      </c>
      <c r="O15" s="4">
        <f t="shared" si="1"/>
        <v>239.78576902750996</v>
      </c>
      <c r="P15" s="4">
        <f t="shared" si="1"/>
        <v>233.12495034814879</v>
      </c>
      <c r="Q15" s="4">
        <f t="shared" si="1"/>
        <v>226.46472235299939</v>
      </c>
      <c r="R15" s="4">
        <f t="shared" si="1"/>
        <v>219.80506679094739</v>
      </c>
      <c r="S15" s="4">
        <f t="shared" si="1"/>
        <v>213.14596378825553</v>
      </c>
      <c r="T15" s="4">
        <f t="shared" si="1"/>
        <v>206.48739190489593</v>
      </c>
      <c r="U15" s="4">
        <f t="shared" si="1"/>
        <v>199.82932819532644</v>
      </c>
      <c r="V15" s="4">
        <f t="shared" si="1"/>
        <v>193.17174827352989</v>
      </c>
      <c r="W15" s="4">
        <f t="shared" si="1"/>
        <v>186.51462638214133</v>
      </c>
      <c r="X15" s="4">
        <f t="shared" si="1"/>
        <v>179.85793546545756</v>
      </c>
      <c r="Y15" s="4">
        <f t="shared" si="1"/>
        <v>173.2016472461321</v>
      </c>
      <c r="Z15" s="4">
        <f t="shared" si="1"/>
        <v>166.5457323053277</v>
      </c>
      <c r="AA15" s="4">
        <f t="shared" si="1"/>
        <v>159.89016016610992</v>
      </c>
      <c r="AB15" s="4">
        <f t="shared" si="1"/>
        <v>153.2348993798347</v>
      </c>
      <c r="AC15" s="4">
        <f t="shared" si="1"/>
        <v>146.57991761529553</v>
      </c>
      <c r="AD15" s="4">
        <f t="shared" si="1"/>
        <v>139.9251817503671</v>
      </c>
      <c r="AE15" s="4">
        <f t="shared" si="1"/>
        <v>133.27065796589631</v>
      </c>
      <c r="AF15" s="4">
        <f t="shared" si="1"/>
        <v>126.6163118415637</v>
      </c>
      <c r="AG15" s="4">
        <f t="shared" si="1"/>
        <v>119.96210845345394</v>
      </c>
      <c r="AH15" s="4">
        <f t="shared" si="1"/>
        <v>113.30801247304949</v>
      </c>
      <c r="AI15" s="4">
        <f t="shared" si="1"/>
        <v>106.65398826737464</v>
      </c>
    </row>
    <row r="16" spans="1:36" ht="14.45" x14ac:dyDescent="0.3">
      <c r="E16" t="s">
        <v>11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91990.671624288516</v>
      </c>
      <c r="I16">
        <f t="shared" si="2"/>
        <v>91981.369690871565</v>
      </c>
      <c r="J16">
        <f t="shared" si="2"/>
        <v>91972.120567090227</v>
      </c>
      <c r="K16">
        <f t="shared" si="2"/>
        <v>91962.950470590018</v>
      </c>
      <c r="L16">
        <f t="shared" si="2"/>
        <v>91953.885395006495</v>
      </c>
      <c r="M16">
        <f t="shared" si="2"/>
        <v>91944.951036281782</v>
      </c>
      <c r="N16">
        <f t="shared" si="2"/>
        <v>91936.172719823764</v>
      </c>
      <c r="O16">
        <f t="shared" si="2"/>
        <v>91927.575328728068</v>
      </c>
      <c r="P16">
        <f t="shared" si="2"/>
        <v>91919.183233229458</v>
      </c>
      <c r="Q16">
        <f t="shared" si="2"/>
        <v>91911.020221639847</v>
      </c>
      <c r="R16">
        <f t="shared" si="2"/>
        <v>91903.109432894707</v>
      </c>
      <c r="S16">
        <f t="shared" si="2"/>
        <v>91895.473290994807</v>
      </c>
      <c r="T16">
        <f t="shared" si="2"/>
        <v>91888.133441401136</v>
      </c>
      <c r="U16">
        <f t="shared" si="2"/>
        <v>91881.110689729714</v>
      </c>
      <c r="V16">
        <f t="shared" si="2"/>
        <v>91874.424942716767</v>
      </c>
      <c r="W16">
        <f t="shared" si="2"/>
        <v>91868.095151855159</v>
      </c>
      <c r="X16">
        <f t="shared" si="2"/>
        <v>91862.139259607749</v>
      </c>
      <c r="Y16">
        <f t="shared" si="2"/>
        <v>91856.574148616928</v>
      </c>
      <c r="Z16">
        <f t="shared" si="2"/>
        <v>91851.415593774567</v>
      </c>
      <c r="AA16">
        <f t="shared" si="2"/>
        <v>91846.678217584718</v>
      </c>
      <c r="AB16">
        <f t="shared" si="2"/>
        <v>91842.375448635416</v>
      </c>
      <c r="AC16">
        <f t="shared" si="2"/>
        <v>91838.519483611366</v>
      </c>
      <c r="AD16">
        <f t="shared" si="2"/>
        <v>91835.121252646524</v>
      </c>
      <c r="AE16">
        <f t="shared" si="2"/>
        <v>91832.190388412797</v>
      </c>
      <c r="AF16">
        <f t="shared" si="2"/>
        <v>91829.735198747847</v>
      </c>
      <c r="AG16">
        <f t="shared" si="2"/>
        <v>91827.762643166701</v>
      </c>
      <c r="AH16">
        <f t="shared" si="2"/>
        <v>91826.27831308161</v>
      </c>
      <c r="AI16">
        <f t="shared" si="2"/>
        <v>91825.286415996074</v>
      </c>
    </row>
    <row r="32" spans="28:28" ht="18" x14ac:dyDescent="0.3">
      <c r="AB32" s="7"/>
    </row>
  </sheetData>
  <conditionalFormatting sqref="F13:AJ1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">
      <colorScale>
        <cfvo type="min"/>
        <cfvo type="max"/>
        <color rgb="FFFF7128"/>
        <color rgb="FF8524AC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 </vt:lpstr>
      <vt:lpstr>2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Вадим Сухоруков</cp:lastModifiedBy>
  <dcterms:created xsi:type="dcterms:W3CDTF">2021-03-10T19:34:53Z</dcterms:created>
  <dcterms:modified xsi:type="dcterms:W3CDTF">2021-03-21T12:20:23Z</dcterms:modified>
</cp:coreProperties>
</file>